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073c9fe2d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1055c6c7af043bd"/>
    <x:sheet xmlns:r="http://schemas.openxmlformats.org/officeDocument/2006/relationships" name="Audit Register" sheetId="2" r:id="Rfe00fa64615e42bd"/>
    <x:sheet xmlns:r="http://schemas.openxmlformats.org/officeDocument/2006/relationships" name="Source Documents" sheetId="3" r:id="Rc4bc1a2276394d03"/>
    <x:sheet xmlns:r="http://schemas.openxmlformats.org/officeDocument/2006/relationships" name="Acquisition Model" sheetId="4" r:id="R3a15e651e74647f3"/>
    <x:sheet xmlns:r="http://schemas.openxmlformats.org/officeDocument/2006/relationships" name="Debt Schedule" sheetId="5" r:id="Re27899880def450b"/>
    <x:sheet xmlns:r="http://schemas.openxmlformats.org/officeDocument/2006/relationships" name="Checks" sheetId="6" r:id="Rcb35f8327812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%;[Red](0.0%);-"/>
    <x:numFmt numFmtId="202" formatCode="0.0x"/>
    <x:numFmt numFmtId="203" formatCode="0"/>
  </x:numFmts>
  <x:fonts count="11">
    <x:font>
      <x:sz val="11"/>
      <x:name val="Carlito"/>
    </x:font>
    <x:font>
      <x:sz val="10"/>
      <x:color rgb="FF171A1F"/>
      <x:name val="Carlito"/>
    </x:font>
    <x:font>
      <x:b/>
      <x:sz val="18"/>
      <x:color rgb="FFFFFFFF"/>
      <x:name val="Carlito"/>
    </x:font>
    <x:font>
      <x:b/>
      <x:sz val="10"/>
      <x:color rgb="FF142B4A"/>
      <x:name val="Carlito"/>
    </x:font>
    <x:font>
      <x:sz val="10"/>
      <x:color rgb="FF008000"/>
      <x:name val="Carlito"/>
    </x:font>
    <x:font>
      <x:b/>
      <x:sz val="10"/>
      <x:color rgb="FF0000FF"/>
      <x:name val="Carlito"/>
    </x:font>
    <x:font>
      <x:b/>
      <x:sz val="10"/>
      <x:color rgb="FF9C0006"/>
      <x:name val="Carlito"/>
    </x:font>
    <x:font>
      <x:b/>
      <x:sz val="10"/>
      <x:color rgb="FF7F3B08"/>
      <x:name val="Carlito"/>
    </x:font>
    <x:font>
      <x:b/>
      <x:sz val="10"/>
      <x:color rgb="FF1E5B35"/>
      <x:name val="Carlito"/>
    </x:font>
    <x:font>
      <x:i/>
      <x:sz val="10"/>
      <x:color rgb="FF32465F"/>
      <x:name val="Carlito"/>
    </x:font>
    <x:font>
      <x:i/>
      <x:sz val="10"/>
      <x:color rgb="FF6B4A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EAF0F6"/>
      </x:patternFill>
    </x:fill>
  </x:fills>
  <x:borders count="10">
    <x:border/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1" fillId="0" borderId="6" xfId="0" applyNumberFormat="1" applyFont="1" applyFill="1" applyBorder="1"/>
    <x:xf numFmtId="201" fontId="1" fillId="0" borderId="5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0" fontId="1" fillId="0" borderId="9" xfId="0" applyNumberFormat="1" applyFont="1" applyFill="1" applyBorder="1"/>
    <x:xf numFmtId="202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202" fontId="1" fillId="0" borderId="5" xfId="0" applyNumberFormat="1" applyFont="1" applyFill="1" applyBorder="1"/>
    <x:xf numFmtId="0" fontId="5" fillId="4" borderId="5" xfId="0" applyNumberFormat="1" applyFont="1" applyFill="1" applyBorder="1"/>
    <x:xf numFmtId="203" fontId="1" fillId="0" borderId="0" xfId="0" applyNumberFormat="1" applyFont="1" applyFill="1" applyBorder="1"/>
    <x:xf numFmtId="203" fontId="1" fillId="0" borderId="5" xfId="0" applyNumberFormat="1" applyFont="1" applyFill="1" applyBorder="1"/>
    <x:xf numFmtId="203" fontId="1" fillId="0" borderId="8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E5B35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E5B35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e25f1b10d4048" /><Relationship Type="http://schemas.openxmlformats.org/officeDocument/2006/relationships/theme" Target="/xl/theme/theme1.xml" Id="R1dec35d6d1e2475f" /><Relationship Type="http://schemas.openxmlformats.org/officeDocument/2006/relationships/sharedStrings" Target="/xl/sharedStrings.xml" Id="R75f5e02c967c409c" /><Relationship Type="http://schemas.openxmlformats.org/officeDocument/2006/relationships/worksheet" Target="/xl/worksheets/sheet1.xml" Id="Rf1055c6c7af043bd" /><Relationship Type="http://schemas.openxmlformats.org/officeDocument/2006/relationships/worksheet" Target="/xl/worksheets/sheet2.xml" Id="Rfe00fa64615e42bd" /><Relationship Type="http://schemas.openxmlformats.org/officeDocument/2006/relationships/worksheet" Target="/xl/worksheets/sheet3.xml" Id="Rc4bc1a2276394d03" /><Relationship Type="http://schemas.openxmlformats.org/officeDocument/2006/relationships/worksheet" Target="/xl/worksheets/sheet4.xml" Id="R3a15e651e74647f3" /><Relationship Type="http://schemas.openxmlformats.org/officeDocument/2006/relationships/worksheet" Target="/xl/worksheets/sheet5.xml" Id="Re27899880def450b" /><Relationship Type="http://schemas.openxmlformats.org/officeDocument/2006/relationships/worksheet" Target="/xl/worksheets/sheet6.xml" Id="Rcb35f83278124a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</x:cols>
  <x:sheetData>
    <x:row r="1" ht="34" customHeight="1">
      <x:c r="A1" s="4" t="str">
        <x:v>M&amp;A Model QA | Fictional Direct Proof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</x:row>
    <x:row r="2">
      <x:c r="A2" s="1" t="str">
        <x:v>A bounded pre-delivery review: source trace, formula integrity, debt tie-out, scenario behavior, and release checks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8" t="str">
        <x:v>Review result</x:v>
      </x:c>
      <x:c r="B4" s="8" t="str">
        <x:v>Value</x:v>
      </x:c>
      <x:c r="C4" s="1"/>
      <x:c r="D4" s="8" t="str">
        <x:v>Control</x:v>
      </x:c>
      <x:c r="E4" s="8" t="str">
        <x:v>Actual</x:v>
      </x:c>
      <x:c r="F4" s="8" t="str">
        <x:v>Expected</x:v>
      </x:c>
      <x:c r="G4" s="8" t="str">
        <x:v>Delta</x:v>
      </x:c>
      <x:c r="H4" s="8" t="str">
        <x:v>Status</x:v>
      </x:c>
      <x:c r="I4" s="1"/>
      <x:c r="J4" s="1"/>
      <x:c r="K4" s="1"/>
    </x:row>
    <x:row r="5">
      <x:c r="A5" s="11" t="str">
        <x:v>Findings</x:v>
      </x:c>
      <x:c r="B5" s="14" t="n">
        <x:v>4</x:v>
      </x:c>
      <x:c r="C5" s="1"/>
      <x:c r="D5" s="11" t="str">
        <x:v>Debt commitment</x:v>
      </x:c>
      <x:c r="E5" s="13" t="n">
        <x:f>'Checks'!B4</x:f>
        <x:v>7000000</x:v>
      </x:c>
      <x:c r="F5" s="13" t="n">
        <x:f>'Checks'!C4</x:f>
        <x:v>7200000</x:v>
      </x:c>
      <x:c r="G5" s="13" t="n">
        <x:f>'Checks'!D4</x:f>
        <x:v>-200000</x:v>
      </x:c>
      <x:c r="H5" s="14" t="str">
        <x:f>'Checks'!F4</x:f>
        <x:v>FAIL</x:v>
      </x:c>
      <x:c r="I5" s="1"/>
      <x:c r="J5" s="1"/>
      <x:c r="K5" s="1"/>
    </x:row>
    <x:row r="6">
      <x:c r="A6" s="15" t="str">
        <x:v>High severity</x:v>
      </x:c>
      <x:c r="B6" s="18" t="n">
        <x:v>2</x:v>
      </x:c>
      <x:c r="C6" s="1"/>
      <x:c r="D6" s="15" t="str">
        <x:v>2027 interest</x:v>
      </x:c>
      <x:c r="E6" s="17" t="n">
        <x:f>'Checks'!B5</x:f>
        <x:v>496000</x:v>
      </x:c>
      <x:c r="F6" s="17" t="n">
        <x:f>'Checks'!C5</x:f>
        <x:v>456000</x:v>
      </x:c>
      <x:c r="G6" s="17" t="n">
        <x:f>'Checks'!D5</x:f>
        <x:v>40000</x:v>
      </x:c>
      <x:c r="H6" s="18" t="str">
        <x:f>'Checks'!F5</x:f>
        <x:v>FAIL</x:v>
      </x:c>
      <x:c r="I6" s="1"/>
      <x:c r="J6" s="1"/>
      <x:c r="K6" s="1"/>
    </x:row>
    <x:row r="7">
      <x:c r="A7" s="15" t="str">
        <x:v>Formula errors</x:v>
      </x:c>
      <x:c r="B7" s="18" t="n">
        <x:v>0</x:v>
      </x:c>
      <x:c r="C7" s="1"/>
      <x:c r="D7" s="15" t="str">
        <x:v>Scenario path</x:v>
      </x:c>
      <x:c r="E7" s="17" t="n">
        <x:f>'Checks'!B6</x:f>
        <x:v>1700000</x:v>
      </x:c>
      <x:c r="F7" s="17" t="n">
        <x:f>'Checks'!C6</x:f>
        <x:v>1700000</x:v>
      </x:c>
      <x:c r="G7" s="17" t="n">
        <x:f>'Checks'!D6</x:f>
        <x:v>0</x:v>
      </x:c>
      <x:c r="H7" s="18" t="str">
        <x:f>'Checks'!F6</x:f>
        <x:v>OK</x:v>
      </x:c>
      <x:c r="I7" s="1"/>
      <x:c r="J7" s="1"/>
      <x:c r="K7" s="1"/>
    </x:row>
    <x:row r="8">
      <x:c r="A8" s="15" t="str">
        <x:v>Direct tie-out issue</x:v>
      </x:c>
      <x:c r="B8" s="18" t="str">
        <x:v>2027 interest expense</x:v>
      </x:c>
      <x:c r="C8" s="1"/>
      <x:c r="D8" s="20" t="str">
        <x:v>Formula errors</x:v>
      </x:c>
      <x:c r="E8" s="34" t="n">
        <x:f>'Checks'!B8</x:f>
        <x:v>0</x:v>
      </x:c>
      <x:c r="F8" s="34" t="n">
        <x:f>'Checks'!C8</x:f>
        <x:v>0</x:v>
      </x:c>
      <x:c r="G8" s="34" t="n">
        <x:f>'Checks'!D8</x:f>
        <x:v>0</x:v>
      </x:c>
      <x:c r="H8" s="23" t="str">
        <x:f>'Checks'!F8</x:f>
        <x:v>OK</x:v>
      </x:c>
      <x:c r="I8" s="1"/>
      <x:c r="J8" s="1"/>
      <x:c r="K8" s="1"/>
    </x:row>
    <x:row r="9">
      <x:c r="A9" s="20" t="str">
        <x:v>Evidence type</x:v>
      </x:c>
      <x:c r="B9" s="23" t="str">
        <x:v>Fictional XLSX + traceable register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42" customHeight="1">
      <x:c r="A12" s="66" t="str">
        <x:v>Method: trace every source-backed input, compare copy-across formulas, reconcile schedules to statements, exercise selectors, then rank only decision-relevant exceptions.</x:v>
      </x:c>
      <x:c r="B12" s="66"/>
      <x:c r="C12" s="66"/>
      <x:c r="D12" s="66"/>
      <x:c r="E12" s="66"/>
      <x:c r="F12" s="66"/>
      <x:c r="G12" s="66"/>
      <x:c r="H12" s="66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42" customHeight="1">
      <x:c r="A14" s="68" t="str">
        <x:v>Boundary: document and model QA only. This demonstration is not accounting, tax, legal, valuation, lender, or investment advice.</x:v>
      </x:c>
      <x:c r="B14" s="68"/>
      <x:c r="C14" s="68"/>
      <x:c r="D14" s="68"/>
      <x:c r="E14" s="68"/>
      <x:c r="F14" s="68"/>
      <x:c r="G14" s="68"/>
      <x:c r="H14" s="68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1:H1"/>
    <x:mergeCell ref="A2:H2"/>
    <x:mergeCell ref="A12:H12"/>
    <x:mergeCell ref="A14:H14"/>
  </x:mergeCells>
  <x:conditionalFormatting sqref="H5:H8">
    <x:cfRule type="containsText" dxfId="2" priority="1" operator="containsText" text="FAIL"/>
    <x:cfRule type="containsText" dxfId="3" priority="2" operator="containsText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34" hidden="0" customWidth="1"/>
    <x:col min="4" max="4" width="18" hidden="0" customWidth="1"/>
    <x:col min="5" max="5" width="18" hidden="0" customWidth="1"/>
    <x:col min="6" max="6" width="29" hidden="0" customWidth="1"/>
    <x:col min="7" max="7" width="34" hidden="0" customWidth="1"/>
    <x:col min="8" max="8" width="38" hidden="0" customWidth="1"/>
  </x:cols>
  <x:sheetData>
    <x:row r="1" ht="34" customHeight="1">
      <x:c r="A1" s="4" t="str">
        <x:v>Traceable M&amp;A Model QA Register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</x:row>
    <x:row r="2">
      <x:c r="A2" s="1" t="str">
        <x:v>Four issues plus one clean control from a fictional acquisition model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8" t="str">
        <x:v>ID</x:v>
      </x:c>
      <x:c r="B4" s="8" t="str">
        <x:v>Severity</x:v>
      </x:c>
      <x:c r="C4" s="8" t="str">
        <x:v>Finding</x:v>
      </x:c>
      <x:c r="D4" s="8" t="str">
        <x:v>Observed</x:v>
      </x:c>
      <x:c r="E4" s="8" t="str">
        <x:v>Expected</x:v>
      </x:c>
      <x:c r="F4" s="8" t="str">
        <x:v>Exact location</x:v>
      </x:c>
      <x:c r="G4" s="8" t="str">
        <x:v>Recommended fix</x:v>
      </x:c>
      <x:c r="H4" s="8" t="str">
        <x:v>Acceptance test</x:v>
      </x:c>
      <x:c r="I4" s="1"/>
      <x:c r="J4" s="1"/>
      <x:c r="K4" s="1"/>
    </x:row>
    <x:row r="5" ht="64" customHeight="1">
      <x:c r="A5" s="53" t="str">
        <x:v>F-001</x:v>
      </x:c>
      <x:c r="B5" s="58" t="str">
        <x:v>HIGH</x:v>
      </x:c>
      <x:c r="C5" s="45" t="str">
        <x:v>2027 interest expense does not tie to the debt schedule</x:v>
      </x:c>
      <x:c r="D5" s="45" t="str">
        <x:v>$496,000</x:v>
      </x:c>
      <x:c r="E5" s="45" t="str">
        <x:v>$456,000</x:v>
      </x:c>
      <x:c r="F5" s="45" t="str">
        <x:v>Debt Schedule!D10 vs D9</x:v>
      </x:c>
      <x:c r="G5" s="45" t="str">
        <x:v>Reference average debt, not beginning debt</x:v>
      </x:c>
      <x:c r="H5" s="46" t="str">
        <x:v>P&amp;L interest equals calculated interest within $1</x:v>
      </x:c>
      <x:c r="I5" s="1"/>
      <x:c r="J5" s="1"/>
      <x:c r="K5" s="1"/>
    </x:row>
    <x:row r="6" ht="64" customHeight="1">
      <x:c r="A6" s="54" t="str">
        <x:v>F-002</x:v>
      </x:c>
      <x:c r="B6" s="59" t="str">
        <x:v>HIGH</x:v>
      </x:c>
      <x:c r="C6" s="48" t="str">
        <x:v>Debt source does not match the lender term sheet</x:v>
      </x:c>
      <x:c r="D6" s="48" t="str">
        <x:v>$7.0m</x:v>
      </x:c>
      <x:c r="E6" s="48" t="str">
        <x:v>$7.2m</x:v>
      </x:c>
      <x:c r="F6" s="48" t="str">
        <x:v>Acquisition Model!C8 vs Source Documents!E9</x:v>
      </x:c>
      <x:c r="G6" s="48" t="str">
        <x:v>Remove the unsupported $200k override</x:v>
      </x:c>
      <x:c r="H6" s="49" t="str">
        <x:v>Debt source equals TERM-01 within $1</x:v>
      </x:c>
      <x:c r="I6" s="1"/>
      <x:c r="J6" s="1"/>
      <x:c r="K6" s="1"/>
    </x:row>
    <x:row r="7" ht="64" customHeight="1">
      <x:c r="A7" s="54" t="str">
        <x:v>F-003</x:v>
      </x:c>
      <x:c r="B7" s="61" t="str">
        <x:v>MEDIUM</x:v>
      </x:c>
      <x:c r="C7" s="48" t="str">
        <x:v>Scenario selector reprices EBITDA but no downstream output</x:v>
      </x:c>
      <x:c r="D7" s="48" t="str">
        <x:v>Downside = $1.7m</x:v>
      </x:c>
      <x:c r="E7" s="48" t="str">
        <x:v>All affected outputs change</x:v>
      </x:c>
      <x:c r="F7" s="48" t="str">
        <x:v>Acquisition Model!C14:C16</x:v>
      </x:c>
      <x:c r="G7" s="48" t="str">
        <x:v>Link leverage and return outputs to scenario EBITDA</x:v>
      </x:c>
      <x:c r="H7" s="49" t="str">
        <x:v>Each selector reprices every documented dependent output</x:v>
      </x:c>
      <x:c r="I7" s="1"/>
      <x:c r="J7" s="1"/>
      <x:c r="K7" s="1"/>
    </x:row>
    <x:row r="8" ht="64" customHeight="1">
      <x:c r="A8" s="54" t="str">
        <x:v>F-004</x:v>
      </x:c>
      <x:c r="B8" s="61" t="str">
        <x:v>MEDIUM</x:v>
      </x:c>
      <x:c r="C8" s="48" t="str">
        <x:v>Sponsor-equity plug masks the debt-source mismatch</x:v>
      </x:c>
      <x:c r="D8" s="48" t="str">
        <x:v>$4.5m</x:v>
      </x:c>
      <x:c r="E8" s="48" t="str">
        <x:v>$4.3m</x:v>
      </x:c>
      <x:c r="F8" s="48" t="str">
        <x:v>Acquisition Model!C8:C10</x:v>
      </x:c>
      <x:c r="G8" s="48" t="str">
        <x:v>Correct debt first, then recalculate sponsor equity</x:v>
      </x:c>
      <x:c r="H8" s="49" t="str">
        <x:v>No plug absorbs an unsupported source variance</x:v>
      </x:c>
      <x:c r="I8" s="1"/>
      <x:c r="J8" s="1"/>
      <x:c r="K8" s="1"/>
    </x:row>
    <x:row r="9" ht="64" customHeight="1">
      <x:c r="A9" s="55" t="str">
        <x:v>F-005</x:v>
      </x:c>
      <x:c r="B9" s="63" t="str">
        <x:v>LOW</x:v>
      </x:c>
      <x:c r="C9" s="51" t="str">
        <x:v>No formula-error values were found</x:v>
      </x:c>
      <x:c r="D9" s="51" t="str">
        <x:v>0 errors</x:v>
      </x:c>
      <x:c r="E9" s="51" t="str">
        <x:v>0 errors</x:v>
      </x:c>
      <x:c r="F9" s="51" t="str">
        <x:v>Workbook-wide scan</x:v>
      </x:c>
      <x:c r="G9" s="51" t="str">
        <x:v>Retain the automated error scan</x:v>
      </x:c>
      <x:c r="H9" s="52" t="str">
        <x:v>Excel formula-error count = 0</x:v>
      </x:c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4" hidden="0" customWidth="1"/>
    <x:col min="4" max="4" width="24" hidden="0" customWidth="1"/>
    <x:col min="5" max="5" width="18" hidden="0" customWidth="1"/>
    <x:col min="6" max="6" width="28" hidden="0" customWidth="1"/>
  </x:cols>
  <x:sheetData>
    <x:row r="1" ht="34" customHeight="1">
      <x:c r="A1" s="4" t="str">
        <x:v>Fictional Source Documents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</x:row>
    <x:row r="2">
      <x:c r="A2" s="1" t="str">
        <x:v>Sanitized demonstration only | USD | no real company, client, or transaction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8" t="str">
        <x:v>Source ID</x:v>
      </x:c>
      <x:c r="B4" s="8" t="str">
        <x:v>Document</x:v>
      </x:c>
      <x:c r="C4" s="8" t="str">
        <x:v>Location</x:v>
      </x:c>
      <x:c r="D4" s="8" t="str">
        <x:v>Metric</x:v>
      </x:c>
      <x:c r="E4" s="8" t="str">
        <x:v>Value</x:v>
      </x:c>
      <x:c r="F4" s="8" t="str">
        <x:v>Notes</x:v>
      </x:c>
      <x:c r="G4" s="1"/>
      <x:c r="H4" s="1"/>
      <x:c r="I4" s="1"/>
      <x:c r="J4" s="1"/>
      <x:c r="K4" s="1"/>
    </x:row>
    <x:row r="5">
      <x:c r="A5" s="11" t="str">
        <x:v>LOI-01</x:v>
      </x:c>
      <x:c r="B5" s="12" t="str">
        <x:v>Letter of intent</x:v>
      </x:c>
      <x:c r="C5" s="12" t="str">
        <x:v>p. 2</x:v>
      </x:c>
      <x:c r="D5" s="12" t="str">
        <x:v>Enterprise value</x:v>
      </x:c>
      <x:c r="E5" s="13" t="n">
        <x:v>12000000</x:v>
      </x:c>
      <x:c r="F5" s="14" t="str">
        <x:v>Cash-free, debt-free</x:v>
      </x:c>
      <x:c r="G5" s="1"/>
      <x:c r="H5" s="1"/>
      <x:c r="I5" s="1"/>
      <x:c r="J5" s="1"/>
      <x:c r="K5" s="1"/>
    </x:row>
    <x:row r="6">
      <x:c r="A6" s="15" t="str">
        <x:v>LOI-02</x:v>
      </x:c>
      <x:c r="B6" s="16" t="str">
        <x:v>Letter of intent</x:v>
      </x:c>
      <x:c r="C6" s="16" t="str">
        <x:v>p. 3</x:v>
      </x:c>
      <x:c r="D6" s="16" t="str">
        <x:v>Seller rollover</x:v>
      </x:c>
      <x:c r="E6" s="17" t="n">
        <x:v>1000000</x:v>
      </x:c>
      <x:c r="F6" s="18" t="str">
        <x:v>Part of equity sources</x:v>
      </x:c>
      <x:c r="G6" s="1"/>
      <x:c r="H6" s="1"/>
      <x:c r="I6" s="1"/>
      <x:c r="J6" s="1"/>
      <x:c r="K6" s="1"/>
    </x:row>
    <x:row r="7">
      <x:c r="A7" s="15" t="str">
        <x:v>QOE-01</x:v>
      </x:c>
      <x:c r="B7" s="16" t="str">
        <x:v>Quality of earnings</x:v>
      </x:c>
      <x:c r="C7" s="16" t="str">
        <x:v>p. 18</x:v>
      </x:c>
      <x:c r="D7" s="16" t="str">
        <x:v>Adjusted EBITDA</x:v>
      </x:c>
      <x:c r="E7" s="17" t="n">
        <x:v>2000000</x:v>
      </x:c>
      <x:c r="F7" s="18" t="str">
        <x:v>LTM adjusted</x:v>
      </x:c>
      <x:c r="G7" s="1"/>
      <x:c r="H7" s="1"/>
      <x:c r="I7" s="1"/>
      <x:c r="J7" s="1"/>
      <x:c r="K7" s="1"/>
    </x:row>
    <x:row r="8">
      <x:c r="A8" s="15" t="str">
        <x:v>QOE-02</x:v>
      </x:c>
      <x:c r="B8" s="16" t="str">
        <x:v>Quality of earnings</x:v>
      </x:c>
      <x:c r="C8" s="16" t="str">
        <x:v>p. 24</x:v>
      </x:c>
      <x:c r="D8" s="16" t="str">
        <x:v>Normalized NWC</x:v>
      </x:c>
      <x:c r="E8" s="17" t="n">
        <x:v>650000</x:v>
      </x:c>
      <x:c r="F8" s="18" t="str">
        <x:v>Target at close</x:v>
      </x:c>
      <x:c r="G8" s="1"/>
      <x:c r="H8" s="1"/>
      <x:c r="I8" s="1"/>
      <x:c r="J8" s="1"/>
      <x:c r="K8" s="1"/>
    </x:row>
    <x:row r="9">
      <x:c r="A9" s="15" t="str">
        <x:v>TERM-01</x:v>
      </x:c>
      <x:c r="B9" s="16" t="str">
        <x:v>Lender term sheet</x:v>
      </x:c>
      <x:c r="C9" s="16" t="str">
        <x:v>p. 1</x:v>
      </x:c>
      <x:c r="D9" s="16" t="str">
        <x:v>Debt commitment</x:v>
      </x:c>
      <x:c r="E9" s="17" t="n">
        <x:v>7200000</x:v>
      </x:c>
      <x:c r="F9" s="18" t="str">
        <x:v>Senior term loan</x:v>
      </x:c>
      <x:c r="G9" s="1"/>
      <x:c r="H9" s="1"/>
      <x:c r="I9" s="1"/>
      <x:c r="J9" s="1"/>
      <x:c r="K9" s="1"/>
    </x:row>
    <x:row r="10">
      <x:c r="A10" s="15" t="str">
        <x:v>TERM-02</x:v>
      </x:c>
      <x:c r="B10" s="16" t="str">
        <x:v>Lender term sheet</x:v>
      </x:c>
      <x:c r="C10" s="16" t="str">
        <x:v>p. 2</x:v>
      </x:c>
      <x:c r="D10" s="16" t="str">
        <x:v>Cash interest rate</x:v>
      </x:c>
      <x:c r="E10" s="19" t="n">
        <x:v>0.08</x:v>
      </x:c>
      <x:c r="F10" s="18" t="str">
        <x:v>Annual rate</x:v>
      </x:c>
      <x:c r="G10" s="1"/>
      <x:c r="H10" s="1"/>
      <x:c r="I10" s="1"/>
      <x:c r="J10" s="1"/>
      <x:c r="K10" s="1"/>
    </x:row>
    <x:row r="11">
      <x:c r="A11" s="15" t="str">
        <x:v>TERM-03</x:v>
      </x:c>
      <x:c r="B11" s="16" t="str">
        <x:v>Lender term sheet</x:v>
      </x:c>
      <x:c r="C11" s="16" t="str">
        <x:v>p. 2</x:v>
      </x:c>
      <x:c r="D11" s="16" t="str">
        <x:v>Annual amortization</x:v>
      </x:c>
      <x:c r="E11" s="17" t="n">
        <x:v>1000000</x:v>
      </x:c>
      <x:c r="F11" s="18" t="str">
        <x:v>Straight-line illustration</x:v>
      </x:c>
      <x:c r="G11" s="1"/>
      <x:c r="H11" s="1"/>
      <x:c r="I11" s="1"/>
      <x:c r="J11" s="1"/>
      <x:c r="K11" s="1"/>
    </x:row>
    <x:row r="12">
      <x:c r="A12" s="20" t="str">
        <x:v>FEE-01</x:v>
      </x:c>
      <x:c r="B12" s="21" t="str">
        <x:v>Fee estimate</x:v>
      </x:c>
      <x:c r="C12" s="21" t="str">
        <x:v>Schedule A</x:v>
      </x:c>
      <x:c r="D12" s="21" t="str">
        <x:v>Transaction fees</x:v>
      </x:c>
      <x:c r="E12" s="22" t="n">
        <x:v>500000</x:v>
      </x:c>
      <x:c r="F12" s="23" t="str">
        <x:v>Illustrative</x:v>
      </x:c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34" hidden="0" customWidth="1"/>
  </x:cols>
  <x:sheetData>
    <x:row r="1" ht="34" customHeight="1">
      <x:c r="A1" s="4" t="str">
        <x:v>Fictional Acquisition Model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</x:row>
    <x:row r="2">
      <x:c r="A2" s="1" t="str">
        <x:v>Deliberately flawed model used to demonstrate a traceable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8" t="str">
        <x:v>Sources &amp; Uses</x:v>
      </x:c>
      <x:c r="B4" s="8" t="str">
        <x:v>Source ref</x:v>
      </x:c>
      <x:c r="C4" s="8" t="str">
        <x:v>2026</x:v>
      </x:c>
      <x:c r="D4" s="8" t="str">
        <x:v>2027</x:v>
      </x:c>
      <x:c r="E4" s="8" t="str">
        <x:v>2028</x:v>
      </x:c>
      <x:c r="F4" s="8" t="str">
        <x:v>Audit note</x:v>
      </x:c>
      <x:c r="G4" s="1"/>
      <x:c r="H4" s="1"/>
      <x:c r="I4" s="1"/>
      <x:c r="J4" s="1"/>
      <x:c r="K4" s="1"/>
    </x:row>
    <x:row r="5">
      <x:c r="A5" s="11" t="str">
        <x:v>Enterprise value</x:v>
      </x:c>
      <x:c r="B5" s="12" t="str">
        <x:v>LOI-01</x:v>
      </x:c>
      <x:c r="C5" s="28" t="n">
        <x:f>'Source Documents'!E5</x:f>
        <x:v>12000000</x:v>
      </x:c>
      <x:c r="D5" s="12"/>
      <x:c r="E5" s="12"/>
      <x:c r="F5" s="14"/>
      <x:c r="G5" s="1"/>
      <x:c r="H5" s="1"/>
      <x:c r="I5" s="1"/>
      <x:c r="J5" s="1"/>
      <x:c r="K5" s="1"/>
    </x:row>
    <x:row r="6">
      <x:c r="A6" s="15" t="str">
        <x:v>Transaction fees</x:v>
      </x:c>
      <x:c r="B6" s="16" t="str">
        <x:v>FEE-01</x:v>
      </x:c>
      <x:c r="C6" s="29" t="n">
        <x:f>'Source Documents'!E12</x:f>
        <x:v>500000</x:v>
      </x:c>
      <x:c r="D6" s="16"/>
      <x:c r="E6" s="16"/>
      <x:c r="F6" s="18"/>
      <x:c r="G6" s="1"/>
      <x:c r="H6" s="1"/>
      <x:c r="I6" s="1"/>
      <x:c r="J6" s="1"/>
      <x:c r="K6" s="1"/>
    </x:row>
    <x:row r="7">
      <x:c r="A7" s="15" t="str">
        <x:v>Total uses</x:v>
      </x:c>
      <x:c r="B7" s="16" t="str"/>
      <x:c r="C7" s="29" t="n">
        <x:f>SUM(C5:C6)</x:f>
        <x:v>12500000</x:v>
      </x:c>
      <x:c r="D7" s="16"/>
      <x:c r="E7" s="16"/>
      <x:c r="F7" s="18"/>
      <x:c r="G7" s="1"/>
      <x:c r="H7" s="1"/>
      <x:c r="I7" s="1"/>
      <x:c r="J7" s="1"/>
      <x:c r="K7" s="1"/>
    </x:row>
    <x:row r="8">
      <x:c r="A8" s="15" t="str">
        <x:v>Senior debt</x:v>
      </x:c>
      <x:c r="B8" s="16" t="str">
        <x:v>TERM-01</x:v>
      </x:c>
      <x:c r="C8" s="29" t="n">
        <x:f>'Source Documents'!E9-200000</x:f>
        <x:v>7000000</x:v>
      </x:c>
      <x:c r="D8" s="16"/>
      <x:c r="E8" s="16"/>
      <x:c r="F8" s="18"/>
      <x:c r="G8" s="1"/>
      <x:c r="H8" s="1"/>
      <x:c r="I8" s="1"/>
      <x:c r="J8" s="1"/>
      <x:c r="K8" s="1"/>
    </x:row>
    <x:row r="9">
      <x:c r="A9" s="15" t="str">
        <x:v>Seller rollover</x:v>
      </x:c>
      <x:c r="B9" s="16" t="str">
        <x:v>LOI-02</x:v>
      </x:c>
      <x:c r="C9" s="29" t="n">
        <x:f>'Source Documents'!E6</x:f>
        <x:v>1000000</x:v>
      </x:c>
      <x:c r="D9" s="16"/>
      <x:c r="E9" s="16"/>
      <x:c r="F9" s="18"/>
      <x:c r="G9" s="1"/>
      <x:c r="H9" s="1"/>
      <x:c r="I9" s="1"/>
      <x:c r="J9" s="1"/>
      <x:c r="K9" s="1"/>
    </x:row>
    <x:row r="10">
      <x:c r="A10" s="15" t="str">
        <x:v>Sponsor equity</x:v>
      </x:c>
      <x:c r="B10" s="16" t="str">
        <x:v>Calculated</x:v>
      </x:c>
      <x:c r="C10" s="29" t="n">
        <x:f>C7-C8-C9</x:f>
        <x:v>4500000</x:v>
      </x:c>
      <x:c r="D10" s="16"/>
      <x:c r="E10" s="16"/>
      <x:c r="F10" s="18"/>
      <x:c r="G10" s="1"/>
      <x:c r="H10" s="1"/>
      <x:c r="I10" s="1"/>
      <x:c r="J10" s="1"/>
      <x:c r="K10" s="1"/>
    </x:row>
    <x:row r="11">
      <x:c r="A11" s="15" t="str">
        <x:v>Total sources</x:v>
      </x:c>
      <x:c r="B11" s="16" t="str"/>
      <x:c r="C11" s="29" t="n">
        <x:f>SUM(C8:C10)</x:f>
        <x:v>12500000</x:v>
      </x:c>
      <x:c r="D11" s="16"/>
      <x:c r="E11" s="16"/>
      <x:c r="F11" s="18"/>
      <x:c r="G11" s="1"/>
      <x:c r="H11" s="1"/>
      <x:c r="I11" s="1"/>
      <x:c r="J11" s="1"/>
      <x:c r="K11" s="1"/>
    </x:row>
    <x:row r="12">
      <x:c r="A12" s="15" t="str">
        <x:v>Sources / uses check</x:v>
      </x:c>
      <x:c r="B12" s="16" t="str"/>
      <x:c r="C12" s="29" t="n">
        <x:f>C11-C7</x:f>
        <x:v>0</x:v>
      </x:c>
      <x:c r="D12" s="16"/>
      <x:c r="E12" s="16"/>
      <x:c r="F12" s="18"/>
      <x:c r="G12" s="1"/>
      <x:c r="H12" s="1"/>
      <x:c r="I12" s="1"/>
      <x:c r="J12" s="1"/>
      <x:c r="K12" s="1"/>
    </x:row>
    <x:row r="13">
      <x:c r="A13" s="15" t="str">
        <x:v>Adjusted EBITDA</x:v>
      </x:c>
      <x:c r="B13" s="16" t="str">
        <x:v>QOE-01</x:v>
      </x:c>
      <x:c r="C13" s="29" t="n">
        <x:f>'Source Documents'!E7</x:f>
        <x:v>2000000</x:v>
      </x:c>
      <x:c r="D13" s="16"/>
      <x:c r="E13" s="16"/>
      <x:c r="F13" s="18"/>
      <x:c r="G13" s="1"/>
      <x:c r="H13" s="1"/>
      <x:c r="I13" s="1"/>
      <x:c r="J13" s="1"/>
      <x:c r="K13" s="1"/>
    </x:row>
    <x:row r="14">
      <x:c r="A14" s="15" t="str">
        <x:v>Entry EV / EBITDA</x:v>
      </x:c>
      <x:c r="B14" s="16" t="str"/>
      <x:c r="C14" s="30" t="n">
        <x:f>C5/C13</x:f>
        <x:v>6</x:v>
      </x:c>
      <x:c r="D14" s="16"/>
      <x:c r="E14" s="16"/>
      <x:c r="F14" s="18"/>
      <x:c r="G14" s="1"/>
      <x:c r="H14" s="1"/>
      <x:c r="I14" s="1"/>
      <x:c r="J14" s="1"/>
      <x:c r="K14" s="1"/>
    </x:row>
    <x:row r="15">
      <x:c r="A15" s="15" t="str">
        <x:v>Scenario selector</x:v>
      </x:c>
      <x:c r="B15" s="16" t="str">
        <x:v>Base / Downside</x:v>
      </x:c>
      <x:c r="C15" s="31" t="str">
        <x:v>Downside</x:v>
      </x:c>
      <x:c r="D15" s="16"/>
      <x:c r="E15" s="16"/>
      <x:c r="F15" s="18" t="str">
        <x:v>Selector is present</x:v>
      </x:c>
      <x:c r="G15" s="1"/>
      <x:c r="H15" s="1"/>
      <x:c r="I15" s="1"/>
      <x:c r="J15" s="1"/>
      <x:c r="K15" s="1"/>
    </x:row>
    <x:row r="16">
      <x:c r="A16" s="20" t="str">
        <x:v>Scenario EBITDA</x:v>
      </x:c>
      <x:c r="B16" s="21" t="str"/>
      <x:c r="C16" s="22" t="n">
        <x:f>IF(C15="Downside",C13*85%,C13)</x:f>
        <x:v>1700000</x:v>
      </x:c>
      <x:c r="D16" s="21"/>
      <x:c r="E16" s="21"/>
      <x:c r="F16" s="23" t="str">
        <x:v>Base path is not exercised in this demonstration</x:v>
      </x:c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40" hidden="0" customWidth="1"/>
  </x:cols>
  <x:sheetData>
    <x:row r="1" ht="34" customHeight="1">
      <x:c r="A1" s="4" t="str">
        <x:v>Debt Schedule</x:v>
      </x:c>
      <x:c r="B1" s="4"/>
      <x:c r="C1" s="4"/>
      <x:c r="D1" s="4"/>
      <x:c r="E1" s="4"/>
      <x:c r="F1" s="4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8" t="str">
        <x:v>Metric</x:v>
      </x:c>
      <x:c r="B3" s="8" t="str">
        <x:v>Source ref</x:v>
      </x:c>
      <x:c r="C3" s="8" t="str">
        <x:v>2026</x:v>
      </x:c>
      <x:c r="D3" s="8" t="str">
        <x:v>2027</x:v>
      </x:c>
      <x:c r="E3" s="8" t="str">
        <x:v>2028</x:v>
      </x:c>
      <x:c r="F3" s="8" t="str">
        <x:v>Audit note</x:v>
      </x:c>
      <x:c r="G3" s="1"/>
      <x:c r="H3" s="1"/>
      <x:c r="I3" s="1"/>
      <x:c r="J3" s="1"/>
      <x:c r="K3" s="1"/>
    </x:row>
    <x:row r="4">
      <x:c r="A4" s="11" t="str">
        <x:v>Beginning debt</x:v>
      </x:c>
      <x:c r="B4" s="12" t="str">
        <x:v>TERM-01</x:v>
      </x:c>
      <x:c r="C4" s="28" t="n">
        <x:f>'Source Documents'!E9</x:f>
        <x:v>7200000</x:v>
      </x:c>
      <x:c r="D4" s="28" t="n">
        <x:f>C6</x:f>
        <x:v>6200000</x:v>
      </x:c>
      <x:c r="E4" s="28" t="n">
        <x:f>D6</x:f>
        <x:v>5200000</x:v>
      </x:c>
      <x:c r="F4" s="14"/>
      <x:c r="G4" s="1"/>
      <x:c r="H4" s="1"/>
      <x:c r="I4" s="1"/>
      <x:c r="J4" s="1"/>
      <x:c r="K4" s="1"/>
    </x:row>
    <x:row r="5">
      <x:c r="A5" s="15" t="str">
        <x:v>Mandatory amortization</x:v>
      </x:c>
      <x:c r="B5" s="16" t="str">
        <x:v>TERM-03</x:v>
      </x:c>
      <x:c r="C5" s="29" t="n">
        <x:f>'Source Documents'!E11</x:f>
        <x:v>1000000</x:v>
      </x:c>
      <x:c r="D5" s="29" t="n">
        <x:f>'Source Documents'!E11</x:f>
        <x:v>1000000</x:v>
      </x:c>
      <x:c r="E5" s="29" t="n">
        <x:f>'Source Documents'!E11</x:f>
        <x:v>1000000</x:v>
      </x:c>
      <x:c r="F5" s="18"/>
      <x:c r="G5" s="1"/>
      <x:c r="H5" s="1"/>
      <x:c r="I5" s="1"/>
      <x:c r="J5" s="1"/>
      <x:c r="K5" s="1"/>
    </x:row>
    <x:row r="6">
      <x:c r="A6" s="15" t="str">
        <x:v>Ending debt</x:v>
      </x:c>
      <x:c r="B6" s="16" t="str"/>
      <x:c r="C6" s="17" t="n">
        <x:f>C4-C5</x:f>
        <x:v>6200000</x:v>
      </x:c>
      <x:c r="D6" s="17" t="n">
        <x:f>D4-D5</x:f>
        <x:v>5200000</x:v>
      </x:c>
      <x:c r="E6" s="17" t="n">
        <x:f>E4-E5</x:f>
        <x:v>4200000</x:v>
      </x:c>
      <x:c r="F6" s="18"/>
      <x:c r="G6" s="1"/>
      <x:c r="H6" s="1"/>
      <x:c r="I6" s="1"/>
      <x:c r="J6" s="1"/>
      <x:c r="K6" s="1"/>
    </x:row>
    <x:row r="7">
      <x:c r="A7" s="15" t="str">
        <x:v>Average debt</x:v>
      </x:c>
      <x:c r="B7" s="16" t="str"/>
      <x:c r="C7" s="17" t="n">
        <x:f>AVERAGE(C4,C6)</x:f>
        <x:v>6700000</x:v>
      </x:c>
      <x:c r="D7" s="17" t="n">
        <x:f>AVERAGE(D4,D6)</x:f>
        <x:v>5700000</x:v>
      </x:c>
      <x:c r="E7" s="17" t="n">
        <x:f>AVERAGE(E4,E6)</x:f>
        <x:v>4700000</x:v>
      </x:c>
      <x:c r="F7" s="18"/>
      <x:c r="G7" s="1"/>
      <x:c r="H7" s="1"/>
      <x:c r="I7" s="1"/>
      <x:c r="J7" s="1"/>
      <x:c r="K7" s="1"/>
    </x:row>
    <x:row r="8">
      <x:c r="A8" s="15" t="str">
        <x:v>Cash interest rate</x:v>
      </x:c>
      <x:c r="B8" s="16" t="str">
        <x:v>TERM-02</x:v>
      </x:c>
      <x:c r="C8" s="19" t="n">
        <x:f>'Source Documents'!E10</x:f>
        <x:v>0.08</x:v>
      </x:c>
      <x:c r="D8" s="19" t="n">
        <x:f>'Source Documents'!E10</x:f>
        <x:v>0.08</x:v>
      </x:c>
      <x:c r="E8" s="19" t="n">
        <x:f>'Source Documents'!E10</x:f>
        <x:v>0.08</x:v>
      </x:c>
      <x:c r="F8" s="18"/>
      <x:c r="G8" s="1"/>
      <x:c r="H8" s="1"/>
      <x:c r="I8" s="1"/>
      <x:c r="J8" s="1"/>
      <x:c r="K8" s="1"/>
    </x:row>
    <x:row r="9">
      <x:c r="A9" s="15" t="str">
        <x:v>Calculated cash interest</x:v>
      </x:c>
      <x:c r="B9" s="16" t="str"/>
      <x:c r="C9" s="17" t="n">
        <x:f>C7*C8</x:f>
        <x:v>536000</x:v>
      </x:c>
      <x:c r="D9" s="17" t="n">
        <x:f>D7*D8</x:f>
        <x:v>456000</x:v>
      </x:c>
      <x:c r="E9" s="17" t="n">
        <x:f>E7*E8</x:f>
        <x:v>376000</x:v>
      </x:c>
      <x:c r="F9" s="18"/>
      <x:c r="G9" s="1"/>
      <x:c r="H9" s="1"/>
      <x:c r="I9" s="1"/>
      <x:c r="J9" s="1"/>
      <x:c r="K9" s="1"/>
    </x:row>
    <x:row r="10">
      <x:c r="A10" s="20" t="str">
        <x:v>P&amp;L interest expense</x:v>
      </x:c>
      <x:c r="B10" s="21" t="str"/>
      <x:c r="C10" s="22" t="n">
        <x:f>C9</x:f>
        <x:v>536000</x:v>
      </x:c>
      <x:c r="D10" s="22" t="n">
        <x:f>D4*D8</x:f>
        <x:v>496000</x:v>
      </x:c>
      <x:c r="E10" s="22" t="n">
        <x:f>E9</x:f>
        <x:v>376000</x:v>
      </x:c>
      <x:c r="F10" s="23" t="str">
        <x:v>2027 formula uses beginning debt instead of average debt</x:v>
      </x:c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35" hidden="0" customWidth="1"/>
  </x:cols>
  <x:sheetData>
    <x:row r="1" ht="34" customHeight="1">
      <x:c r="A1" s="4" t="str">
        <x:v>Model Checks</x:v>
      </x:c>
      <x:c r="B1" s="4"/>
      <x:c r="C1" s="4"/>
      <x:c r="D1" s="4"/>
      <x:c r="E1" s="4"/>
      <x:c r="F1" s="4"/>
      <x:c r="G1" s="4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8" t="str">
        <x:v>Check</x:v>
      </x:c>
      <x:c r="B3" s="8" t="str">
        <x:v>Actual</x:v>
      </x:c>
      <x:c r="C3" s="8" t="str">
        <x:v>Expected</x:v>
      </x:c>
      <x:c r="D3" s="8" t="str">
        <x:v>Difference</x:v>
      </x:c>
      <x:c r="E3" s="8" t="str">
        <x:v>Tolerance</x:v>
      </x:c>
      <x:c r="F3" s="8" t="str">
        <x:v>Status</x:v>
      </x:c>
      <x:c r="G3" s="8" t="str">
        <x:v>Fix hint</x:v>
      </x:c>
      <x:c r="H3" s="1"/>
      <x:c r="I3" s="1"/>
      <x:c r="J3" s="1"/>
      <x:c r="K3" s="1"/>
    </x:row>
    <x:row r="4">
      <x:c r="A4" s="11" t="str">
        <x:v>Debt commitment matches lender term sheet</x:v>
      </x:c>
      <x:c r="B4" s="13" t="n">
        <x:f>'Acquisition Model'!C8</x:f>
        <x:v>7000000</x:v>
      </x:c>
      <x:c r="C4" s="13" t="n">
        <x:f>'Source Documents'!E9</x:f>
        <x:v>7200000</x:v>
      </x:c>
      <x:c r="D4" s="13" t="n">
        <x:f>B4-C4</x:f>
        <x:v>-200000</x:v>
      </x:c>
      <x:c r="E4" s="13" t="n">
        <x:v>1</x:v>
      </x:c>
      <x:c r="F4" s="12" t="str">
        <x:f>IF(ABS(D4)&lt;=E4,"OK","FAIL")</x:f>
        <x:v>FAIL</x:v>
      </x:c>
      <x:c r="G4" s="14" t="str">
        <x:v>Remove unsupported $200k override</x:v>
      </x:c>
      <x:c r="H4" s="1"/>
      <x:c r="I4" s="1"/>
      <x:c r="J4" s="1"/>
      <x:c r="K4" s="1"/>
    </x:row>
    <x:row r="5">
      <x:c r="A5" s="15" t="str">
        <x:v>2027 P&amp;L interest ties to debt schedule</x:v>
      </x:c>
      <x:c r="B5" s="17" t="n">
        <x:f>'Debt Schedule'!D10</x:f>
        <x:v>496000</x:v>
      </x:c>
      <x:c r="C5" s="17" t="n">
        <x:f>'Debt Schedule'!D9</x:f>
        <x:v>456000</x:v>
      </x:c>
      <x:c r="D5" s="17" t="n">
        <x:f>B5-C5</x:f>
        <x:v>40000</x:v>
      </x:c>
      <x:c r="E5" s="17" t="n">
        <x:v>1</x:v>
      </x:c>
      <x:c r="F5" s="16" t="str">
        <x:f>IF(ABS(D5)&lt;=E5,"OK","FAIL")</x:f>
        <x:v>FAIL</x:v>
      </x:c>
      <x:c r="G5" s="18" t="str">
        <x:v>Use average debt for interest</x:v>
      </x:c>
      <x:c r="H5" s="1"/>
      <x:c r="I5" s="1"/>
      <x:c r="J5" s="1"/>
      <x:c r="K5" s="1"/>
    </x:row>
    <x:row r="6">
      <x:c r="A6" s="15" t="str">
        <x:v>Scenario selector reprices EBITDA</x:v>
      </x:c>
      <x:c r="B6" s="17" t="n">
        <x:f>'Acquisition Model'!C16</x:f>
        <x:v>1700000</x:v>
      </x:c>
      <x:c r="C6" s="17" t="n">
        <x:f>'Acquisition Model'!C13*85%</x:f>
        <x:v>1700000</x:v>
      </x:c>
      <x:c r="D6" s="17" t="n">
        <x:f>B6-C6</x:f>
        <x:v>0</x:v>
      </x:c>
      <x:c r="E6" s="17" t="n">
        <x:v>1</x:v>
      </x:c>
      <x:c r="F6" s="16" t="str">
        <x:f>IF(ABS(D6)&lt;=E6,"OK","FAIL")</x:f>
        <x:v>OK</x:v>
      </x:c>
      <x:c r="G6" s="18" t="str">
        <x:v>Exercise every selector path</x:v>
      </x:c>
      <x:c r="H6" s="1"/>
      <x:c r="I6" s="1"/>
      <x:c r="J6" s="1"/>
      <x:c r="K6" s="1"/>
    </x:row>
    <x:row r="7">
      <x:c r="A7" s="15" t="str">
        <x:v>Sources equal uses</x:v>
      </x:c>
      <x:c r="B7" s="33" t="n">
        <x:f>'Acquisition Model'!C11</x:f>
        <x:v>12500000</x:v>
      </x:c>
      <x:c r="C7" s="33" t="n">
        <x:f>'Acquisition Model'!C7</x:f>
        <x:v>12500000</x:v>
      </x:c>
      <x:c r="D7" s="33" t="n">
        <x:f>B7-C7</x:f>
        <x:v>0</x:v>
      </x:c>
      <x:c r="E7" s="33" t="n">
        <x:v>0</x:v>
      </x:c>
      <x:c r="F7" s="16" t="str">
        <x:f>IF(D7=0,"OK","FAIL")</x:f>
        <x:v>OK</x:v>
      </x:c>
      <x:c r="G7" s="18" t="str">
        <x:v>Keep the independent tie-out visible</x:v>
      </x:c>
      <x:c r="H7" s="1"/>
      <x:c r="I7" s="1"/>
      <x:c r="J7" s="1"/>
      <x:c r="K7" s="1"/>
    </x:row>
    <x:row r="8">
      <x:c r="A8" s="20" t="str">
        <x:v>Formula errors</x:v>
      </x:c>
      <x:c r="B8" s="34" t="n">
        <x:v>0</x:v>
      </x:c>
      <x:c r="C8" s="34" t="n">
        <x:v>0</x:v>
      </x:c>
      <x:c r="D8" s="34" t="n">
        <x:v>0</x:v>
      </x:c>
      <x:c r="E8" s="34" t="n">
        <x:v>0</x:v>
      </x:c>
      <x:c r="F8" s="21" t="str">
        <x:f>IF(B8=0,"OK","FAIL")</x:f>
        <x:v>OK</x:v>
      </x:c>
      <x:c r="G8" s="23" t="str">
        <x:v>No Excel error values</x:v>
      </x:c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mergeCells>
    <x:mergeCell ref="A1:G1"/>
  </x:mergeCells>
  <x:conditionalFormatting sqref="F4:F8">
    <x:cfRule type="containsText" dxfId="0" priority="1" operator="containsText" text="FAIL"/>
    <x:cfRule type="containsText" dxfId="1" priority="2" operator="containsText" text="OK"/>
  </x:conditionalFormatting>
  <x:pageMargins left="0.7" right="0.7" top="0.75" bottom="0.75" header="0.3" footer="0.3"/>
</x:worksheet>
</file>